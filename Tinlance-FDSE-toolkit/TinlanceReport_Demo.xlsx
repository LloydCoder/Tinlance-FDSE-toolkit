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indings" sheetId="2" state="visible" r:id="rId2"/>
    <sheet xmlns:r="http://schemas.openxmlformats.org/officeDocument/2006/relationships" name="ThreatFade Detections" sheetId="3" state="visible" r:id="rId3"/>
    <sheet xmlns:r="http://schemas.openxmlformats.org/officeDocument/2006/relationships" name="NIS2 Compliance" sheetId="4" state="visible" r:id="rId4"/>
    <sheet xmlns:r="http://schemas.openxmlformats.org/officeDocument/2006/relationships" name="Remediation Roadmap"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0e5c8"/>
      <sz val="16"/>
    </font>
    <font>
      <name val="Arial"/>
      <b val="1"/>
      <color rgb="00e8ecf4"/>
      <sz val="12"/>
    </font>
    <font>
      <name val="Arial"/>
      <color rgb="008892a4"/>
      <sz val="9"/>
    </font>
    <font>
      <name val="Arial"/>
      <b val="1"/>
      <color rgb="0000e5c8"/>
      <sz val="10"/>
    </font>
    <font>
      <name val="Arial"/>
      <b val="1"/>
      <color rgb="00ff4d6d"/>
      <sz val="14"/>
    </font>
    <font>
      <name val="Arial"/>
      <color rgb="00e8ecf4"/>
      <sz val="10"/>
    </font>
    <font>
      <name val="Arial"/>
      <b val="1"/>
      <color rgb="00080a0f"/>
      <sz val="10"/>
    </font>
    <font>
      <name val="Arial"/>
      <color rgb="00c4cad6"/>
      <sz val="9"/>
    </font>
    <font>
      <name val="Arial"/>
      <b val="1"/>
      <color rgb="00080a0f"/>
      <sz val="9"/>
    </font>
  </fonts>
  <fills count="10">
    <fill>
      <patternFill/>
    </fill>
    <fill>
      <patternFill patternType="gray125"/>
    </fill>
    <fill>
      <patternFill patternType="solid">
        <fgColor rgb="00ff4d6d"/>
      </patternFill>
    </fill>
    <fill>
      <patternFill patternType="solid">
        <fgColor rgb="000d1018"/>
      </patternFill>
    </fill>
    <fill>
      <patternFill patternType="solid">
        <fgColor rgb="00ff8c42"/>
      </patternFill>
    </fill>
    <fill>
      <patternFill patternType="solid">
        <fgColor rgb="00f5c842"/>
      </patternFill>
    </fill>
    <fill>
      <patternFill patternType="solid">
        <fgColor rgb="004ecdc4"/>
      </patternFill>
    </fill>
    <fill>
      <patternFill patternType="solid">
        <fgColor rgb="006c8ebf"/>
      </patternFill>
    </fill>
    <fill>
      <patternFill patternType="solid">
        <fgColor rgb="00080a0f"/>
      </patternFill>
    </fill>
    <fill>
      <patternFill patternType="solid">
        <fgColor rgb="0012151e"/>
      </patternFill>
    </fill>
  </fills>
  <borders count="2">
    <border>
      <left/>
      <right/>
      <top/>
      <bottom/>
      <diagonal/>
    </border>
    <border>
      <left style="thin">
        <color rgb="001a1e2a"/>
      </left>
      <right style="thin">
        <color rgb="001a1e2a"/>
      </right>
      <top style="thin">
        <color rgb="001a1e2a"/>
      </top>
      <bottom style="thin">
        <color rgb="001a1e2a"/>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pivotButton="0" quotePrefix="0" xfId="0"/>
    <xf numFmtId="0" fontId="6" fillId="3" borderId="0" applyAlignment="1" pivotButton="0" quotePrefix="0" xfId="0">
      <alignment horizontal="center"/>
    </xf>
    <xf numFmtId="0" fontId="7" fillId="4" borderId="0" pivotButton="0" quotePrefix="0" xfId="0"/>
    <xf numFmtId="0" fontId="7" fillId="5" borderId="0" pivotButton="0" quotePrefix="0" xfId="0"/>
    <xf numFmtId="0" fontId="7" fillId="6" borderId="0" pivotButton="0" quotePrefix="0" xfId="0"/>
    <xf numFmtId="0" fontId="7" fillId="7" borderId="0" pivotButton="0" quotePrefix="0" xfId="0"/>
    <xf numFmtId="0" fontId="4" fillId="8" borderId="1" applyAlignment="1" pivotButton="0" quotePrefix="0" xfId="0">
      <alignment vertical="center" wrapText="1"/>
    </xf>
    <xf numFmtId="0" fontId="8" fillId="3" borderId="1" applyAlignment="1" pivotButton="0" quotePrefix="0" xfId="0">
      <alignment vertical="top" wrapText="1"/>
    </xf>
    <xf numFmtId="0" fontId="9" fillId="2" borderId="1" applyAlignment="1" pivotButton="0" quotePrefix="0" xfId="0">
      <alignment vertical="top" wrapText="1"/>
    </xf>
    <xf numFmtId="0" fontId="8" fillId="9" borderId="1" applyAlignment="1" pivotButton="0" quotePrefix="0" xfId="0">
      <alignment vertical="top" wrapText="1"/>
    </xf>
    <xf numFmtId="0" fontId="9" fillId="4"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2" borderId="0" pivotButton="0" quotePrefix="0" xfId="0"/>
    <xf numFmtId="0" fontId="9" fillId="2" borderId="0" applyAlignment="1" pivotButton="0" quotePrefix="0" xfId="0">
      <alignment horizontal="center"/>
    </xf>
    <xf numFmtId="0" fontId="8" fillId="3" borderId="0" pivotButton="0" quotePrefix="0" xfId="0"/>
    <xf numFmtId="0" fontId="3" fillId="3" borderId="0" pivotButton="0" quotePrefix="0" xfId="0"/>
    <xf numFmtId="0" fontId="8" fillId="9" borderId="0" pivotButton="0" quotePrefix="0" xfId="0"/>
    <xf numFmtId="0" fontId="3" fillId="9" borderId="0" pivotButton="0" quotePrefix="0" xfId="0"/>
    <xf numFmtId="0" fontId="9" fillId="4" borderId="0" pivotButton="0" quotePrefix="0" xfId="0"/>
    <xf numFmtId="0" fontId="9" fillId="4" borderId="0" applyAlignment="1" pivotButton="0" quotePrefix="0" xfId="0">
      <alignment horizontal="center"/>
    </xf>
    <xf numFmtId="0" fontId="9" fillId="5" borderId="0" pivotButton="0" quotePrefix="0" xfId="0"/>
    <xf numFmtId="0" fontId="9" fillId="5" borderId="0" applyAlignment="1" pivotButton="0" quotePrefix="0" xfId="0">
      <alignment horizontal="center"/>
    </xf>
    <xf numFmtId="0" fontId="9" fillId="6" borderId="0" pivotButton="0" quotePrefix="0" xfId="0"/>
    <xf numFmtId="0" fontId="9" fillId="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tx>
            <strRef>
              <f>'Dashboard'!B7</f>
            </strRef>
          </tx>
          <spPr>
            <a:ln xmlns:a="http://schemas.openxmlformats.org/drawingml/2006/main">
              <a:prstDash val="solid"/>
            </a:ln>
          </spPr>
          <cat>
            <numRef>
              <f>'Dashboard'!$A$8:$A$12</f>
            </numRef>
          </cat>
          <val>
            <numRef>
              <f>'Dashboard'!$B$8:$B$12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Severity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6</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e5c8"/>
    <outlinePr summaryBelow="1" summaryRight="1"/>
    <pageSetUpPr/>
  </sheetPr>
  <dimension ref="A1:C12"/>
  <sheetViews>
    <sheetView showGridLines="0" workbookViewId="0">
      <selection activeCell="A1" sqref="A1"/>
    </sheetView>
  </sheetViews>
  <sheetFormatPr baseColWidth="8" defaultRowHeight="15"/>
  <cols>
    <col width="18" customWidth="1" min="1" max="1"/>
    <col width="10" customWidth="1" min="2" max="2"/>
    <col width="20" customWidth="1" min="3" max="3"/>
  </cols>
  <sheetData>
    <row r="1">
      <c r="A1" s="1" t="inlineStr">
        <is>
          <t>TINLANCE SECURITY ASSESSMENT REPORT</t>
        </is>
      </c>
    </row>
    <row r="2">
      <c r="A2" s="2" t="inlineStr">
        <is>
          <t>Acme Financial Services Ltd</t>
        </is>
      </c>
    </row>
    <row r="3">
      <c r="A3" s="3" t="inlineStr">
        <is>
          <t>Report Date: June 01, 2026  |  Classification: CONFIDENTIAL</t>
        </is>
      </c>
    </row>
    <row r="5">
      <c r="A5" s="4" t="inlineStr">
        <is>
          <t>OVERALL RISK</t>
        </is>
      </c>
      <c r="B5" s="5" t="inlineStr">
        <is>
          <t>HIGH</t>
        </is>
      </c>
      <c r="C5" s="6" t="inlineStr">
        <is>
          <t>Score: 7.4/10</t>
        </is>
      </c>
    </row>
    <row r="7">
      <c r="A7" s="4" t="inlineStr">
        <is>
          <t>Severity</t>
        </is>
      </c>
      <c r="B7" s="4" t="inlineStr">
        <is>
          <t>Count</t>
        </is>
      </c>
    </row>
    <row r="8">
      <c r="A8" s="7" t="inlineStr">
        <is>
          <t>CRITICAL</t>
        </is>
      </c>
      <c r="B8" s="8" t="n">
        <v>3</v>
      </c>
    </row>
    <row r="9">
      <c r="A9" s="9" t="inlineStr">
        <is>
          <t>HIGH</t>
        </is>
      </c>
      <c r="B9" s="8" t="n">
        <v>2</v>
      </c>
    </row>
    <row r="10">
      <c r="A10" s="10" t="inlineStr">
        <is>
          <t>MEDIUM</t>
        </is>
      </c>
      <c r="B10" s="8" t="n">
        <v>4</v>
      </c>
    </row>
    <row r="11">
      <c r="A11" s="11" t="inlineStr">
        <is>
          <t>LOW</t>
        </is>
      </c>
      <c r="B11" s="8" t="n">
        <v>2</v>
      </c>
    </row>
    <row r="12">
      <c r="A12" s="12" t="inlineStr">
        <is>
          <t>INFO</t>
        </is>
      </c>
      <c r="B12" s="8" t="n">
        <v>1</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ff4d6d"/>
    <outlinePr summaryBelow="1" summaryRight="1"/>
    <pageSetUpPr/>
  </sheetPr>
  <dimension ref="A1:I13"/>
  <sheetViews>
    <sheetView showGridLines="0" workbookViewId="0">
      <selection activeCell="A1" sqref="A1"/>
    </sheetView>
  </sheetViews>
  <sheetFormatPr baseColWidth="8" defaultRowHeight="15"/>
  <cols>
    <col width="8" customWidth="1" min="1" max="1"/>
    <col width="30" customWidth="1" min="2" max="2"/>
    <col width="10" customWidth="1" min="3" max="3"/>
    <col width="8" customWidth="1" min="4" max="4"/>
    <col width="20" customWidth="1" min="5" max="5"/>
    <col width="20" customWidth="1" min="6" max="6"/>
    <col width="30" customWidth="1" min="7" max="7"/>
    <col width="30" customWidth="1" min="8" max="8"/>
    <col width="15" customWidth="1" min="9" max="9"/>
  </cols>
  <sheetData>
    <row r="1" ht="20" customHeight="1">
      <c r="A1" s="13" t="inlineStr">
        <is>
          <t>ID</t>
        </is>
      </c>
      <c r="B1" s="13" t="inlineStr">
        <is>
          <t>Title</t>
        </is>
      </c>
      <c r="C1" s="13" t="inlineStr">
        <is>
          <t>Severity</t>
        </is>
      </c>
      <c r="D1" s="13" t="inlineStr">
        <is>
          <t>CVSS</t>
        </is>
      </c>
      <c r="E1" s="13" t="inlineStr">
        <is>
          <t>Affected Systems</t>
        </is>
      </c>
      <c r="F1" s="13" t="inlineStr">
        <is>
          <t>MITRE TTP</t>
        </is>
      </c>
      <c r="G1" s="13" t="inlineStr">
        <is>
          <t>Business Impact</t>
        </is>
      </c>
      <c r="H1" s="13" t="inlineStr">
        <is>
          <t>Remediation</t>
        </is>
      </c>
      <c r="I1" s="13" t="inlineStr">
        <is>
          <t>Effort</t>
        </is>
      </c>
    </row>
    <row r="2">
      <c r="A2" s="14" t="inlineStr">
        <is>
          <t>TF-001</t>
        </is>
      </c>
      <c r="B2" s="14" t="inlineStr">
        <is>
          <t>Active C2 Beacon Traffic — Cobalt Strike Pattern Detected</t>
        </is>
      </c>
      <c r="C2" s="15" t="inlineStr">
        <is>
          <t>CRITICAL</t>
        </is>
      </c>
      <c r="D2" s="14" t="n">
        <v>9.800000000000001</v>
      </c>
      <c r="E2" s="14" t="inlineStr">
        <is>
          <t>192.168.10.45
192.168.10.67
192.168.11.203</t>
        </is>
      </c>
      <c r="F2" s="14" t="inlineStr">
        <is>
          <t>T1071.001 — Application Layer Protocol: Web Protocols
T1573 — Encrypted Channel
T1095 — Non-Application Layer Protocol</t>
        </is>
      </c>
      <c r="G2" s="14" t="inlineStr">
        <is>
          <t>Active adversary presence. Risk of lateral movement, credential harvesting, data exfiltration, and ransomware deployment. NIS2 incident reporting obligation likely triggered.</t>
        </is>
      </c>
      <c r="H2" s="14" t="inlineStr">
        <is>
          <t>1. Immediately isolate affected hosts (192.168.10.45, .67, 192.168.11.203). 2. Block outbound traffic to 203.0.113.47 at perimeter firewall. 3. Engage incident response team. 4. Submit NIS2 early warning notification to CSIRT within 24 hours. 5. Deploy ThreatFade endpoint agent across full fleet to identify additional compromised hosts.</t>
        </is>
      </c>
      <c r="I2" s="14" t="inlineStr">
        <is>
          <t>Immediate (0-24 hours)</t>
        </is>
      </c>
    </row>
    <row r="3">
      <c r="A3" s="16" t="inlineStr">
        <is>
          <t>TF-002</t>
        </is>
      </c>
      <c r="B3" s="16" t="inlineStr">
        <is>
          <t>SQL Injection — Customer Portal Login Form</t>
        </is>
      </c>
      <c r="C3" s="15" t="inlineStr">
        <is>
          <t>CRITICAL</t>
        </is>
      </c>
      <c r="D3" s="16" t="n">
        <v>9.1</v>
      </c>
      <c r="E3" s="16" t="inlineStr">
        <is>
          <t>portal.acme-example.com — /login endpoint</t>
        </is>
      </c>
      <c r="F3" s="16" t="inlineStr">
        <is>
          <t>T1190 — Exploit Public-Facing Application</t>
        </is>
      </c>
      <c r="G3" s="16" t="inlineStr">
        <is>
          <t>Full customer database exposure. GDPR Article 33 breach notification obligation. Reputational damage. Regulatory fines.</t>
        </is>
      </c>
      <c r="H3" s="16" t="inlineStr">
        <is>
          <t>1. Apply parameterised queries / prepared statements immediately. 2. Deploy WAF rule blocking SQL metacharacters on login endpoint. 3. Rotate all customer credentials. 4. Notify DPA within 72 hours per GDPR Article 33.</t>
        </is>
      </c>
      <c r="I3" s="16" t="inlineStr">
        <is>
          <t>Short-term (1-7 days)</t>
        </is>
      </c>
    </row>
    <row r="4">
      <c r="A4" s="14" t="inlineStr">
        <is>
          <t>TF-003</t>
        </is>
      </c>
      <c r="B4" s="14" t="inlineStr">
        <is>
          <t>IcedID Loader Pattern — Suspicious Download Activity</t>
        </is>
      </c>
      <c r="C4" s="15" t="inlineStr">
        <is>
          <t>CRITICAL</t>
        </is>
      </c>
      <c r="D4" s="14" t="n">
        <v>9</v>
      </c>
      <c r="E4" s="14" t="inlineStr">
        <is>
          <t>192.168.12.88</t>
        </is>
      </c>
      <c r="F4" s="14" t="inlineStr">
        <is>
          <t>T1566.001 — Phishing: Spearphishing Attachment
T1059.001 — PowerShell</t>
        </is>
      </c>
      <c r="G4" s="14" t="inlineStr">
        <is>
          <t>Potential banking trojan deployment risk. IcedID is commonly used as a precursor to ransomware. Possible credential theft from financial applications.</t>
        </is>
      </c>
      <c r="H4" s="14" t="inlineStr">
        <is>
          <t>1. Isolate host 192.168.12.88 immediately. 2. Reimage from known-good baseline. 3. Review email logs for phishing delivery vector. 4. Block identified DGA domains at DNS level.</t>
        </is>
      </c>
      <c r="I4" s="14" t="inlineStr">
        <is>
          <t>Immediate (0-24 hours)</t>
        </is>
      </c>
    </row>
    <row r="5">
      <c r="A5" s="16" t="inlineStr">
        <is>
          <t>BF-001</t>
        </is>
      </c>
      <c r="B5" s="16" t="inlineStr">
        <is>
          <t>Outdated Apache HTTP Server — CVE-2024-38476</t>
        </is>
      </c>
      <c r="C5" s="17" t="inlineStr">
        <is>
          <t>HIGH</t>
        </is>
      </c>
      <c r="D5" s="16" t="n">
        <v>8.1</v>
      </c>
      <c r="E5" s="16" t="inlineStr">
        <is>
          <t>api.acme-example.com (Apache/2.4.51)</t>
        </is>
      </c>
      <c r="F5" s="16" t="inlineStr">
        <is>
          <t>T1190 — Exploit Public-Facing Application</t>
        </is>
      </c>
      <c r="G5" s="16" t="inlineStr">
        <is>
          <t>Potential access to internal services from external network. Information disclosure of internal network topology.</t>
        </is>
      </c>
      <c r="H5" s="16" t="inlineStr">
        <is>
          <t>Upgrade Apache HTTP Server to 2.4.62 or later.</t>
        </is>
      </c>
      <c r="I5" s="16" t="inlineStr">
        <is>
          <t>Short-term (1-7 days)</t>
        </is>
      </c>
    </row>
    <row r="6">
      <c r="A6" s="14" t="inlineStr">
        <is>
          <t>BF-002</t>
        </is>
      </c>
      <c r="B6" s="14" t="inlineStr">
        <is>
          <t>Weak Password Policy — Active Directory</t>
        </is>
      </c>
      <c r="C6" s="17" t="inlineStr">
        <is>
          <t>HIGH</t>
        </is>
      </c>
      <c r="D6" s="14" t="n">
        <v>7.5</v>
      </c>
      <c r="E6" s="14" t="inlineStr">
        <is>
          <t>Active Directory — ACME.LOCAL domain</t>
        </is>
      </c>
      <c r="F6" s="14" t="inlineStr">
        <is>
          <t>T1110.001 — Brute Force: Password Guessing</t>
        </is>
      </c>
      <c r="G6" s="14" t="inlineStr">
        <is>
          <t>Credential compromise enables lateral movement, privilege escalation, and domain takeover.</t>
        </is>
      </c>
      <c r="H6" s="14" t="inlineStr">
        <is>
          <t>1. Enforce minimum 12-character passwords with complexity. 2. Enable MFA for all accounts — mandatory per NIS2 Article 21(2)(j). 3. Force password reset for all 47 compromised accounts. 4. Deploy Azure AD Password Protection or equivalent.</t>
        </is>
      </c>
      <c r="I6" s="14" t="inlineStr">
        <is>
          <t>Short-term (1-7 days)</t>
        </is>
      </c>
    </row>
    <row r="7">
      <c r="A7" s="16" t="inlineStr">
        <is>
          <t>RO-001</t>
        </is>
      </c>
      <c r="B7" s="16" t="inlineStr">
        <is>
          <t>Exposed Internal Hostnames in Public DNS Records</t>
        </is>
      </c>
      <c r="C7" s="18" t="inlineStr">
        <is>
          <t>MEDIUM</t>
        </is>
      </c>
      <c r="D7" s="16" t="n">
        <v>5.3</v>
      </c>
      <c r="E7" s="16" t="inlineStr">
        <is>
          <t>DNS — public zone acme-example.com</t>
        </is>
      </c>
      <c r="F7" s="16" t="inlineStr">
        <is>
          <t>T1590.002 — Gather Victim Network Information: DNS</t>
        </is>
      </c>
      <c r="G7" s="16" t="inlineStr">
        <is>
          <t>Reconnaissance enablement. Exposes internal architecture to threat actors prior to attack.</t>
        </is>
      </c>
      <c r="H7" s="16" t="inlineStr">
        <is>
          <t>1. Remove internal hostnames from public DNS zone. 2. Disable zone transfers on public nameservers. 3. Audit all DNS records for internal exposure.</t>
        </is>
      </c>
      <c r="I7" s="16" t="inlineStr">
        <is>
          <t>Medium-term (1-4 weeks)</t>
        </is>
      </c>
    </row>
    <row r="8">
      <c r="A8" s="14" t="inlineStr">
        <is>
          <t>TF-004</t>
        </is>
      </c>
      <c r="B8" s="14" t="inlineStr">
        <is>
          <t>Missing Network Segmentation — Flat Network Architecture</t>
        </is>
      </c>
      <c r="C8" s="18" t="inlineStr">
        <is>
          <t>MEDIUM</t>
        </is>
      </c>
      <c r="D8" s="14" t="n">
        <v>6.5</v>
      </c>
      <c r="E8" s="14" t="inlineStr">
        <is>
          <t>Network infrastructure — full /16 subnet</t>
        </is>
      </c>
      <c r="F8" s="14" t="inlineStr">
        <is>
          <t>T1021 — Remote Services
T1018 — Remote System Discovery</t>
        </is>
      </c>
      <c r="G8" s="14" t="inlineStr">
        <is>
          <t>Any compromised endpoint has unrestricted access to all other systems. Enables rapid ransomware spread.</t>
        </is>
      </c>
      <c r="H8" s="14" t="inlineStr">
        <is>
          <t>1. Implement VLAN segmentation (workstations, servers, DMZ, management). 2. Deploy micro-segmentation for critical assets. 3. Implement network ACLs between zones.</t>
        </is>
      </c>
      <c r="I8" s="14" t="inlineStr">
        <is>
          <t>Medium-term (1-4 weeks)</t>
        </is>
      </c>
    </row>
    <row r="9">
      <c r="A9" s="16" t="inlineStr">
        <is>
          <t>BF-003</t>
        </is>
      </c>
      <c r="B9" s="16" t="inlineStr">
        <is>
          <t>Unencrypted Internal API Traffic (HTTP)</t>
        </is>
      </c>
      <c r="C9" s="18" t="inlineStr">
        <is>
          <t>MEDIUM</t>
        </is>
      </c>
      <c r="D9" s="16" t="n">
        <v>5.9</v>
      </c>
      <c r="E9" s="16" t="inlineStr">
        <is>
          <t>Internal API service — 192.168.20.10:8080</t>
        </is>
      </c>
      <c r="F9" s="16" t="inlineStr">
        <is>
          <t>T1040 — Network Sniffing</t>
        </is>
      </c>
      <c r="G9" s="16" t="inlineStr">
        <is>
          <t>Session hijacking and customer data exposure risk. DORA ICT risk management gap.</t>
        </is>
      </c>
      <c r="H9" s="16" t="inlineStr">
        <is>
          <t>Enforce TLS 1.2+ on all internal API communications. Implement mutual TLS for service-to-service authentication.</t>
        </is>
      </c>
      <c r="I9" s="16" t="inlineStr">
        <is>
          <t>Medium-term (1-4 weeks)</t>
        </is>
      </c>
    </row>
    <row r="10">
      <c r="A10" s="14" t="inlineStr">
        <is>
          <t>RO-002</t>
        </is>
      </c>
      <c r="B10" s="14" t="inlineStr">
        <is>
          <t>Third-Party SaaS Credentials in Public GitHub Repository</t>
        </is>
      </c>
      <c r="C10" s="18" t="inlineStr">
        <is>
          <t>MEDIUM</t>
        </is>
      </c>
      <c r="D10" s="14" t="n">
        <v>6.8</v>
      </c>
      <c r="E10" s="14" t="inlineStr">
        <is>
          <t>github.com/acme-corp — dev repository (public)</t>
        </is>
      </c>
      <c r="F10" s="14" t="inlineStr">
        <is>
          <t>T1552.001 — Unsecured Credentials: Credentials in Files</t>
        </is>
      </c>
      <c r="G10" s="14" t="inlineStr">
        <is>
          <t>Paystack account compromise. AWS resource abuse and potential data access.</t>
        </is>
      </c>
      <c r="H10" s="14" t="inlineStr">
        <is>
          <t>1. Immediately revoke and rotate exposed credentials. 2. Make repository private or remove sensitive files. 3. Implement git-secrets or TruffleHog pre-commit hooks. 4. Audit all repositories for credential exposure.</t>
        </is>
      </c>
      <c r="I10" s="14" t="inlineStr">
        <is>
          <t>Immediate (0-24 hours)</t>
        </is>
      </c>
    </row>
    <row r="11">
      <c r="A11" s="16" t="inlineStr">
        <is>
          <t>BF-004</t>
        </is>
      </c>
      <c r="B11" s="16" t="inlineStr">
        <is>
          <t>Missing Security Headers on Customer Portal</t>
        </is>
      </c>
      <c r="C11" s="19" t="inlineStr">
        <is>
          <t>LOW</t>
        </is>
      </c>
      <c r="D11" s="16" t="n">
        <v>3.7</v>
      </c>
      <c r="E11" s="16" t="inlineStr">
        <is>
          <t>portal.acme-example.com</t>
        </is>
      </c>
      <c r="F11" s="16" t="inlineStr">
        <is>
          <t>T1185 — Browser Session Hijacking</t>
        </is>
      </c>
      <c r="G11" s="16" t="inlineStr">
        <is>
          <t>Clickjacking, MIME-type sniffing, and information leakage risks.</t>
        </is>
      </c>
      <c r="H11" s="16" t="inlineStr">
        <is>
          <t>Add security headers to web server configuration. Use SecurityHeaders.com to validate.</t>
        </is>
      </c>
      <c r="I11" s="16" t="inlineStr">
        <is>
          <t>Short-term (1-7 days)</t>
        </is>
      </c>
    </row>
    <row r="12">
      <c r="A12" s="14" t="inlineStr">
        <is>
          <t>BF-005</t>
        </is>
      </c>
      <c r="B12" s="14" t="inlineStr">
        <is>
          <t>Default SNMP Community String on Network Devices</t>
        </is>
      </c>
      <c r="C12" s="19" t="inlineStr">
        <is>
          <t>LOW</t>
        </is>
      </c>
      <c r="D12" s="14" t="n">
        <v>2.7</v>
      </c>
      <c r="E12" s="14" t="inlineStr">
        <is>
          <t>192.168.1.1 — Core switch
192.168.1.2 — Distribution switch</t>
        </is>
      </c>
      <c r="F12" s="14" t="inlineStr">
        <is>
          <t>T1602 — Data from Configuration Repository</t>
        </is>
      </c>
      <c r="G12" s="14" t="inlineStr">
        <is>
          <t>Network topology disclosure enabling more targeted attacks.</t>
        </is>
      </c>
      <c r="H12" s="14" t="inlineStr">
        <is>
          <t>Change SNMP community strings to complex unique values. Implement SNMPv3 with authentication.</t>
        </is>
      </c>
      <c r="I12" s="14" t="inlineStr">
        <is>
          <t>Short-term (1-7 days)</t>
        </is>
      </c>
    </row>
    <row r="13">
      <c r="A13" s="16" t="inlineStr">
        <is>
          <t>RO-003</t>
        </is>
      </c>
      <c r="B13" s="16" t="inlineStr">
        <is>
          <t>Informal Patch Management Process</t>
        </is>
      </c>
      <c r="C13" s="20" t="inlineStr">
        <is>
          <t>INFO</t>
        </is>
      </c>
      <c r="D13" s="16" t="n">
        <v>0</v>
      </c>
      <c r="E13" s="16" t="inlineStr">
        <is>
          <t>Organisational process — IT Operations</t>
        </is>
      </c>
      <c r="F13" s="16" t="inlineStr">
        <is>
          <t>T1190 — Exploit Public-Facing Application (risk factor)</t>
        </is>
      </c>
      <c r="G13" s="16" t="inlineStr">
        <is>
          <t>Increased attack surface from unpatched vulnerabilities over time. NIS2 risk management requirement gap.</t>
        </is>
      </c>
      <c r="H13" s="16" t="inlineStr">
        <is>
          <t>Implement formal patch management policy with defined SLAs. Deploy automated patching tool (WSUS, Intune, or equivalent).</t>
        </is>
      </c>
      <c r="I13" s="16" t="inlineStr">
        <is>
          <t>Medium-term (1-4 weeks)</t>
        </is>
      </c>
    </row>
  </sheetData>
  <pageMargins left="0.75" right="0.75" top="1" bottom="1" header="0.5" footer="0.5"/>
</worksheet>
</file>

<file path=xl/worksheets/sheet3.xml><?xml version="1.0" encoding="utf-8"?>
<worksheet xmlns="http://schemas.openxmlformats.org/spreadsheetml/2006/main">
  <sheetPr>
    <tabColor rgb="0000b8a0"/>
    <outlinePr summaryBelow="1" summaryRight="1"/>
    <pageSetUpPr/>
  </sheetPr>
  <dimension ref="A1:F6"/>
  <sheetViews>
    <sheetView showGridLines="0" workbookViewId="0">
      <selection activeCell="A1" sqref="A1"/>
    </sheetView>
  </sheetViews>
  <sheetFormatPr baseColWidth="8" defaultRowHeight="15"/>
  <cols>
    <col width="22" customWidth="1" min="1" max="1"/>
    <col width="18" customWidth="1" min="2" max="2"/>
    <col width="28" customWidth="1" min="3" max="3"/>
    <col width="10" customWidth="1" min="4" max="4"/>
    <col width="12" customWidth="1" min="5" max="5"/>
    <col width="20" customWidth="1" min="6" max="6"/>
  </cols>
  <sheetData>
    <row r="1">
      <c r="A1" s="13" t="inlineStr">
        <is>
          <t>Timestamp</t>
        </is>
      </c>
      <c r="B1" s="13" t="inlineStr">
        <is>
          <t>Host</t>
        </is>
      </c>
      <c r="C1" s="13" t="inlineStr">
        <is>
          <t>Threat</t>
        </is>
      </c>
      <c r="D1" s="13" t="inlineStr">
        <is>
          <t>Z-Score</t>
        </is>
      </c>
      <c r="E1" s="13" t="inlineStr">
        <is>
          <t>Severity</t>
        </is>
      </c>
      <c r="F1" s="13" t="inlineStr">
        <is>
          <t>MITRE TTP</t>
        </is>
      </c>
    </row>
    <row r="2">
      <c r="A2" s="14" t="inlineStr">
        <is>
          <t>2026-05-27 09:14:22</t>
        </is>
      </c>
      <c r="B2" s="14" t="inlineStr">
        <is>
          <t>192.168.10.45</t>
        </is>
      </c>
      <c r="C2" s="14" t="inlineStr">
        <is>
          <t>Cobalt Strike C2 Beacon</t>
        </is>
      </c>
      <c r="D2" s="14" t="n">
        <v>7.01</v>
      </c>
      <c r="E2" s="15" t="inlineStr">
        <is>
          <t>CRITICAL</t>
        </is>
      </c>
      <c r="F2" s="14" t="inlineStr">
        <is>
          <t>T1071.001</t>
        </is>
      </c>
    </row>
    <row r="3">
      <c r="A3" s="16" t="inlineStr">
        <is>
          <t>2026-05-27 09:14:23</t>
        </is>
      </c>
      <c r="B3" s="16" t="inlineStr">
        <is>
          <t>192.168.10.67</t>
        </is>
      </c>
      <c r="C3" s="16" t="inlineStr">
        <is>
          <t>Cobalt Strike C2 Beacon</t>
        </is>
      </c>
      <c r="D3" s="16" t="n">
        <v>6.87</v>
      </c>
      <c r="E3" s="15" t="inlineStr">
        <is>
          <t>CRITICAL</t>
        </is>
      </c>
      <c r="F3" s="16" t="inlineStr">
        <is>
          <t>T1071.001</t>
        </is>
      </c>
    </row>
    <row r="4">
      <c r="A4" s="14" t="inlineStr">
        <is>
          <t>2026-05-27 11:30:05</t>
        </is>
      </c>
      <c r="B4" s="14" t="inlineStr">
        <is>
          <t>192.168.12.88</t>
        </is>
      </c>
      <c r="C4" s="14" t="inlineStr">
        <is>
          <t>IcedID Loader Pattern</t>
        </is>
      </c>
      <c r="D4" s="14" t="n">
        <v>3.89</v>
      </c>
      <c r="E4" s="15" t="inlineStr">
        <is>
          <t>CRITICAL</t>
        </is>
      </c>
      <c r="F4" s="14" t="inlineStr">
        <is>
          <t>T1566.001</t>
        </is>
      </c>
    </row>
    <row r="5">
      <c r="A5" s="16" t="inlineStr">
        <is>
          <t>2026-05-28 14:22:11</t>
        </is>
      </c>
      <c r="B5" s="16" t="inlineStr">
        <is>
          <t>192.168.11.203</t>
        </is>
      </c>
      <c r="C5" s="16" t="inlineStr">
        <is>
          <t>Cobalt Strike C2 Beacon</t>
        </is>
      </c>
      <c r="D5" s="16" t="n">
        <v>7.14</v>
      </c>
      <c r="E5" s="15" t="inlineStr">
        <is>
          <t>CRITICAL</t>
        </is>
      </c>
      <c r="F5" s="16" t="inlineStr">
        <is>
          <t>T1573</t>
        </is>
      </c>
    </row>
    <row r="6">
      <c r="A6" s="14" t="inlineStr">
        <is>
          <t>2026-05-29 08:45:00</t>
        </is>
      </c>
      <c r="B6" s="14" t="inlineStr">
        <is>
          <t>192.168.10.45</t>
        </is>
      </c>
      <c r="C6" s="14" t="inlineStr">
        <is>
          <t>Lateral Movement SMB</t>
        </is>
      </c>
      <c r="D6" s="14" t="n">
        <v>4.21</v>
      </c>
      <c r="E6" s="17" t="inlineStr">
        <is>
          <t>HIGH</t>
        </is>
      </c>
      <c r="F6" s="14" t="inlineStr">
        <is>
          <t>T1021</t>
        </is>
      </c>
    </row>
  </sheetData>
  <pageMargins left="0.75" right="0.75" top="1" bottom="1" header="0.5" footer="0.5"/>
</worksheet>
</file>

<file path=xl/worksheets/sheet4.xml><?xml version="1.0" encoding="utf-8"?>
<worksheet xmlns="http://schemas.openxmlformats.org/spreadsheetml/2006/main">
  <sheetPr>
    <tabColor rgb="00f5c842"/>
    <outlinePr summaryBelow="1" summaryRight="1"/>
    <pageSetUpPr/>
  </sheetPr>
  <dimension ref="A1:D11"/>
  <sheetViews>
    <sheetView showGridLines="0" workbookViewId="0">
      <selection activeCell="A1" sqref="A1"/>
    </sheetView>
  </sheetViews>
  <sheetFormatPr baseColWidth="8" defaultRowHeight="15"/>
  <cols>
    <col width="30" customWidth="1" min="1" max="1"/>
    <col width="15" customWidth="1" min="2" max="2"/>
    <col width="12" customWidth="1" min="3" max="3"/>
    <col width="50" customWidth="1" min="4" max="4"/>
  </cols>
  <sheetData>
    <row r="1">
      <c r="A1" s="13" t="inlineStr">
        <is>
          <t>NIS2 Control</t>
        </is>
      </c>
      <c r="B1" s="13" t="inlineStr">
        <is>
          <t>Reference</t>
        </is>
      </c>
      <c r="C1" s="13" t="inlineStr">
        <is>
          <t>Status</t>
        </is>
      </c>
      <c r="D1" s="13" t="inlineStr">
        <is>
          <t>Gap Details</t>
        </is>
      </c>
    </row>
    <row r="2">
      <c r="A2" s="14" t="inlineStr">
        <is>
          <t>Risk management policies</t>
        </is>
      </c>
      <c r="B2" s="14" t="inlineStr">
        <is>
          <t>Article 21(2)(a)</t>
        </is>
      </c>
      <c r="C2" s="18" t="inlineStr">
        <is>
          <t>PARTIAL</t>
        </is>
      </c>
      <c r="D2" s="14" t="inlineStr">
        <is>
          <t>Policy exists but not formally documented or board-approved</t>
        </is>
      </c>
    </row>
    <row r="3">
      <c r="A3" s="16" t="inlineStr">
        <is>
          <t>Incident handling procedures</t>
        </is>
      </c>
      <c r="B3" s="16" t="inlineStr">
        <is>
          <t>Article 21(2)(b)</t>
        </is>
      </c>
      <c r="C3" s="15" t="inlineStr">
        <is>
          <t>GAP</t>
        </is>
      </c>
      <c r="D3" s="16" t="inlineStr">
        <is>
          <t>No formal IR plan. Active incident (TF-001) has no documented response procedure</t>
        </is>
      </c>
    </row>
    <row r="4">
      <c r="A4" s="14" t="inlineStr">
        <is>
          <t>Business continuity &amp; recovery</t>
        </is>
      </c>
      <c r="B4" s="14" t="inlineStr">
        <is>
          <t>Article 21(2)(c)</t>
        </is>
      </c>
      <c r="C4" s="18" t="inlineStr">
        <is>
          <t>PARTIAL</t>
        </is>
      </c>
      <c r="D4" s="14" t="inlineStr">
        <is>
          <t>BCP exists for operational systems but not tested in 18 months</t>
        </is>
      </c>
    </row>
    <row r="5">
      <c r="A5" s="16" t="inlineStr">
        <is>
          <t>Supply chain security</t>
        </is>
      </c>
      <c r="B5" s="16" t="inlineStr">
        <is>
          <t>Article 21(2)(d)</t>
        </is>
      </c>
      <c r="C5" s="15" t="inlineStr">
        <is>
          <t>GAP</t>
        </is>
      </c>
      <c r="D5" s="16" t="inlineStr">
        <is>
          <t>No vendor security assessment programme. RO-002 credentials from third-party integration</t>
        </is>
      </c>
    </row>
    <row r="6">
      <c r="A6" s="14" t="inlineStr">
        <is>
          <t>Network &amp; information system security</t>
        </is>
      </c>
      <c r="B6" s="14" t="inlineStr">
        <is>
          <t>Article 21(2)(e)</t>
        </is>
      </c>
      <c r="C6" s="15" t="inlineStr">
        <is>
          <t>GAP</t>
        </is>
      </c>
      <c r="D6" s="14" t="inlineStr">
        <is>
          <t>Flat network, no segmentation, active C2 beacon undetected prior to assessment</t>
        </is>
      </c>
    </row>
    <row r="7">
      <c r="A7" s="16" t="inlineStr">
        <is>
          <t>Policies on cryptography</t>
        </is>
      </c>
      <c r="B7" s="16" t="inlineStr">
        <is>
          <t>Article 21(2)(h)</t>
        </is>
      </c>
      <c r="C7" s="18" t="inlineStr">
        <is>
          <t>PARTIAL</t>
        </is>
      </c>
      <c r="D7" s="16" t="inlineStr">
        <is>
          <t>HTTPS on external systems. Internal API traffic unencrypted (BF-003)</t>
        </is>
      </c>
    </row>
    <row r="8">
      <c r="A8" s="14" t="inlineStr">
        <is>
          <t>Human resources security</t>
        </is>
      </c>
      <c r="B8" s="14" t="inlineStr">
        <is>
          <t>Article 21(2)(i)</t>
        </is>
      </c>
      <c r="C8" s="18" t="inlineStr">
        <is>
          <t>PARTIAL</t>
        </is>
      </c>
      <c r="D8" s="14" t="inlineStr">
        <is>
          <t>Basic onboarding but no security awareness programme</t>
        </is>
      </c>
    </row>
    <row r="9">
      <c r="A9" s="16" t="inlineStr">
        <is>
          <t>Multi-factor authentication</t>
        </is>
      </c>
      <c r="B9" s="16" t="inlineStr">
        <is>
          <t>Article 21(2)(j)</t>
        </is>
      </c>
      <c r="C9" s="15" t="inlineStr">
        <is>
          <t>GAP</t>
        </is>
      </c>
      <c r="D9" s="16" t="inlineStr">
        <is>
          <t>MFA not enforced on AD or VPN. Mandatory under NIS2</t>
        </is>
      </c>
    </row>
    <row r="10">
      <c r="A10" s="14" t="inlineStr">
        <is>
          <t>Incident reporting (24hr/72hr)</t>
        </is>
      </c>
      <c r="B10" s="14" t="inlineStr">
        <is>
          <t>Article 23</t>
        </is>
      </c>
      <c r="C10" s="15" t="inlineStr">
        <is>
          <t>GAP</t>
        </is>
      </c>
      <c r="D10" s="14" t="inlineStr">
        <is>
          <t>TF-001 C2 incident may already require 24hr CSIRT notification</t>
        </is>
      </c>
    </row>
    <row r="11">
      <c r="A11" s="16" t="inlineStr">
        <is>
          <t>Management accountability</t>
        </is>
      </c>
      <c r="B11" s="16" t="inlineStr">
        <is>
          <t>Article 20</t>
        </is>
      </c>
      <c r="C11" s="15" t="inlineStr">
        <is>
          <t>GAP</t>
        </is>
      </c>
      <c r="D11" s="16" t="inlineStr">
        <is>
          <t>No designated CISO or security accountability at board level</t>
        </is>
      </c>
    </row>
  </sheetData>
  <pageMargins left="0.75" right="0.75" top="1" bottom="1" header="0.5" footer="0.5"/>
</worksheet>
</file>

<file path=xl/worksheets/sheet5.xml><?xml version="1.0" encoding="utf-8"?>
<worksheet xmlns="http://schemas.openxmlformats.org/spreadsheetml/2006/main">
  <sheetPr>
    <tabColor rgb="00ff8c42"/>
    <outlinePr summaryBelow="1" summaryRight="1"/>
    <pageSetUpPr/>
  </sheetPr>
  <dimension ref="A1:D21"/>
  <sheetViews>
    <sheetView showGridLines="0" workbookViewId="0">
      <selection activeCell="A1" sqref="A1"/>
    </sheetView>
  </sheetViews>
  <sheetFormatPr baseColWidth="8" defaultRowHeight="15"/>
  <cols>
    <col width="22" customWidth="1" min="1" max="1"/>
    <col width="10" customWidth="1" min="2" max="2"/>
    <col width="45" customWidth="1" min="3" max="3"/>
    <col width="15" customWidth="1" min="4" max="4"/>
  </cols>
  <sheetData>
    <row r="1">
      <c r="A1" s="13" t="inlineStr">
        <is>
          <t>Phase</t>
        </is>
      </c>
      <c r="B1" s="13" t="inlineStr">
        <is>
          <t>Priority</t>
        </is>
      </c>
      <c r="C1" s="13" t="inlineStr">
        <is>
          <t>Action</t>
        </is>
      </c>
      <c r="D1" s="13" t="inlineStr">
        <is>
          <t>Category</t>
        </is>
      </c>
    </row>
    <row r="2">
      <c r="A2" s="21" t="inlineStr">
        <is>
          <t>Immediate (0-24 hrs)</t>
        </is>
      </c>
      <c r="B2" s="22" t="n">
        <v>1</v>
      </c>
      <c r="C2" s="23" t="inlineStr">
        <is>
          <t>Isolate TF-001 hosts</t>
        </is>
      </c>
      <c r="D2" s="24" t="inlineStr">
        <is>
          <t>Security</t>
        </is>
      </c>
    </row>
    <row r="3">
      <c r="A3" s="21" t="inlineStr">
        <is>
          <t>Immediate (0-24 hrs)</t>
        </is>
      </c>
      <c r="B3" s="22" t="n">
        <v>1</v>
      </c>
      <c r="C3" s="25" t="inlineStr">
        <is>
          <t>Block C2 IP at perimeter</t>
        </is>
      </c>
      <c r="D3" s="26" t="inlineStr">
        <is>
          <t>Security</t>
        </is>
      </c>
    </row>
    <row r="4">
      <c r="A4" s="21" t="inlineStr">
        <is>
          <t>Immediate (0-24 hrs)</t>
        </is>
      </c>
      <c r="B4" s="22" t="n">
        <v>1</v>
      </c>
      <c r="C4" s="23" t="inlineStr">
        <is>
          <t>Notify CSIRT (NIS2)</t>
        </is>
      </c>
      <c r="D4" s="24" t="inlineStr">
        <is>
          <t>Security</t>
        </is>
      </c>
    </row>
    <row r="5">
      <c r="A5" s="21" t="inlineStr">
        <is>
          <t>Immediate (0-24 hrs)</t>
        </is>
      </c>
      <c r="B5" s="22" t="n">
        <v>1</v>
      </c>
      <c r="C5" s="25" t="inlineStr">
        <is>
          <t>Revoke exposed credentials (RO-002)</t>
        </is>
      </c>
      <c r="D5" s="26" t="inlineStr">
        <is>
          <t>Security</t>
        </is>
      </c>
    </row>
    <row r="6">
      <c r="A6" s="21" t="inlineStr">
        <is>
          <t>Immediate (0-24 hrs)</t>
        </is>
      </c>
      <c r="B6" s="22" t="n">
        <v>1</v>
      </c>
      <c r="C6" s="23" t="inlineStr">
        <is>
          <t>Begin IR process</t>
        </is>
      </c>
      <c r="D6" s="24" t="inlineStr">
        <is>
          <t>Security</t>
        </is>
      </c>
    </row>
    <row r="7">
      <c r="A7" s="27" t="inlineStr">
        <is>
          <t>Short-term (1-7 days)</t>
        </is>
      </c>
      <c r="B7" s="28" t="n">
        <v>2</v>
      </c>
      <c r="C7" s="25" t="inlineStr">
        <is>
          <t>Patch SQLi (TF-002)</t>
        </is>
      </c>
      <c r="D7" s="26" t="inlineStr">
        <is>
          <t>Security</t>
        </is>
      </c>
    </row>
    <row r="8">
      <c r="A8" s="27" t="inlineStr">
        <is>
          <t>Short-term (1-7 days)</t>
        </is>
      </c>
      <c r="B8" s="28" t="n">
        <v>2</v>
      </c>
      <c r="C8" s="23" t="inlineStr">
        <is>
          <t>Upgrade Apache (BF-001)</t>
        </is>
      </c>
      <c r="D8" s="24" t="inlineStr">
        <is>
          <t>Security</t>
        </is>
      </c>
    </row>
    <row r="9">
      <c r="A9" s="27" t="inlineStr">
        <is>
          <t>Short-term (1-7 days)</t>
        </is>
      </c>
      <c r="B9" s="28" t="n">
        <v>2</v>
      </c>
      <c r="C9" s="25" t="inlineStr">
        <is>
          <t>Force AD password reset</t>
        </is>
      </c>
      <c r="D9" s="26" t="inlineStr">
        <is>
          <t>Security</t>
        </is>
      </c>
    </row>
    <row r="10">
      <c r="A10" s="27" t="inlineStr">
        <is>
          <t>Short-term (1-7 days)</t>
        </is>
      </c>
      <c r="B10" s="28" t="n">
        <v>2</v>
      </c>
      <c r="C10" s="23" t="inlineStr">
        <is>
          <t>Add security headers (BF-004)</t>
        </is>
      </c>
      <c r="D10" s="24" t="inlineStr">
        <is>
          <t>Security</t>
        </is>
      </c>
    </row>
    <row r="11">
      <c r="A11" s="27" t="inlineStr">
        <is>
          <t>Short-term (1-7 days)</t>
        </is>
      </c>
      <c r="B11" s="28" t="n">
        <v>2</v>
      </c>
      <c r="C11" s="25" t="inlineStr">
        <is>
          <t>Change SNMP strings (BF-005)</t>
        </is>
      </c>
      <c r="D11" s="26" t="inlineStr">
        <is>
          <t>Security</t>
        </is>
      </c>
    </row>
    <row r="12">
      <c r="A12" s="29" t="inlineStr">
        <is>
          <t>Medium-term (1-4 wks)</t>
        </is>
      </c>
      <c r="B12" s="30" t="n">
        <v>3</v>
      </c>
      <c r="C12" s="23" t="inlineStr">
        <is>
          <t>Implement network segmentation</t>
        </is>
      </c>
      <c r="D12" s="24" t="inlineStr">
        <is>
          <t>Security</t>
        </is>
      </c>
    </row>
    <row r="13">
      <c r="A13" s="29" t="inlineStr">
        <is>
          <t>Medium-term (1-4 wks)</t>
        </is>
      </c>
      <c r="B13" s="30" t="n">
        <v>3</v>
      </c>
      <c r="C13" s="25" t="inlineStr">
        <is>
          <t>Enforce internal TLS (BF-003)</t>
        </is>
      </c>
      <c r="D13" s="26" t="inlineStr">
        <is>
          <t>Security</t>
        </is>
      </c>
    </row>
    <row r="14">
      <c r="A14" s="29" t="inlineStr">
        <is>
          <t>Medium-term (1-4 wks)</t>
        </is>
      </c>
      <c r="B14" s="30" t="n">
        <v>3</v>
      </c>
      <c r="C14" s="23" t="inlineStr">
        <is>
          <t>Clean up DNS (RO-001)</t>
        </is>
      </c>
      <c r="D14" s="24" t="inlineStr">
        <is>
          <t>Security</t>
        </is>
      </c>
    </row>
    <row r="15">
      <c r="A15" s="29" t="inlineStr">
        <is>
          <t>Medium-term (1-4 wks)</t>
        </is>
      </c>
      <c r="B15" s="30" t="n">
        <v>3</v>
      </c>
      <c r="C15" s="25" t="inlineStr">
        <is>
          <t>Deploy MFA on AD + VPN</t>
        </is>
      </c>
      <c r="D15" s="26" t="inlineStr">
        <is>
          <t>Security</t>
        </is>
      </c>
    </row>
    <row r="16">
      <c r="A16" s="29" t="inlineStr">
        <is>
          <t>Medium-term (1-4 wks)</t>
        </is>
      </c>
      <c r="B16" s="30" t="n">
        <v>3</v>
      </c>
      <c r="C16" s="23" t="inlineStr">
        <is>
          <t>Implement patch management</t>
        </is>
      </c>
      <c r="D16" s="24" t="inlineStr">
        <is>
          <t>Security</t>
        </is>
      </c>
    </row>
    <row r="17">
      <c r="A17" s="31" t="inlineStr">
        <is>
          <t>Long-term (1-3 months)</t>
        </is>
      </c>
      <c r="B17" s="32" t="n">
        <v>4</v>
      </c>
      <c r="C17" s="25" t="inlineStr">
        <is>
          <t>Deploy ThreatFade across full fleet</t>
        </is>
      </c>
      <c r="D17" s="26" t="inlineStr">
        <is>
          <t>Security</t>
        </is>
      </c>
    </row>
    <row r="18">
      <c r="A18" s="31" t="inlineStr">
        <is>
          <t>Long-term (1-3 months)</t>
        </is>
      </c>
      <c r="B18" s="32" t="n">
        <v>4</v>
      </c>
      <c r="C18" s="23" t="inlineStr">
        <is>
          <t>Establish NIS2 compliance programme</t>
        </is>
      </c>
      <c r="D18" s="24" t="inlineStr">
        <is>
          <t>Security</t>
        </is>
      </c>
    </row>
    <row r="19">
      <c r="A19" s="31" t="inlineStr">
        <is>
          <t>Long-term (1-3 months)</t>
        </is>
      </c>
      <c r="B19" s="32" t="n">
        <v>4</v>
      </c>
      <c r="C19" s="25" t="inlineStr">
        <is>
          <t>Board-level CISO appointment</t>
        </is>
      </c>
      <c r="D19" s="26" t="inlineStr">
        <is>
          <t>Security</t>
        </is>
      </c>
    </row>
    <row r="20">
      <c r="A20" s="31" t="inlineStr">
        <is>
          <t>Long-term (1-3 months)</t>
        </is>
      </c>
      <c r="B20" s="32" t="n">
        <v>4</v>
      </c>
      <c r="C20" s="23" t="inlineStr">
        <is>
          <t>Security awareness training</t>
        </is>
      </c>
      <c r="D20" s="24" t="inlineStr">
        <is>
          <t>Security</t>
        </is>
      </c>
    </row>
    <row r="21">
      <c r="A21" s="31" t="inlineStr">
        <is>
          <t>Long-term (1-3 months)</t>
        </is>
      </c>
      <c r="B21" s="32" t="n">
        <v>4</v>
      </c>
      <c r="C21" s="25" t="inlineStr">
        <is>
          <t>Vendor security assessment programme</t>
        </is>
      </c>
      <c r="D21" s="26" t="inlineStr">
        <is>
          <t>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2026-06-01T12:15:35Z</dcterms:created>
  <dcterms:modified xmlns:dcterms="http://purl.org/dc/terms/" xmlns:xsi="http://www.w3.org/2001/XMLSchema-instance" xsi:type="dcterms:W3CDTF">2026-06-01T12:15:35Z</dcterms:modified>
</cp:coreProperties>
</file>