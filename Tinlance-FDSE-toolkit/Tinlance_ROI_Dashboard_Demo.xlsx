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I Dashboard" sheetId="1" state="visible" r:id="rId1"/>
    <sheet xmlns:r="http://schemas.openxmlformats.org/officeDocument/2006/relationships" name="MTTD Detail" sheetId="2" state="visible" r:id="rId2"/>
    <sheet xmlns:r="http://schemas.openxmlformats.org/officeDocument/2006/relationships" name="NIS2 Fine Calculat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3">
    <font>
      <name val="Calibri"/>
      <family val="2"/>
      <color theme="1"/>
      <sz val="11"/>
      <scheme val="minor"/>
    </font>
    <font>
      <name val="Arial"/>
      <b val="1"/>
      <color rgb="0000e5c8"/>
      <sz val="14"/>
    </font>
    <font>
      <name val="Arial"/>
      <color rgb="00888888"/>
      <sz val="8"/>
    </font>
    <font>
      <name val="Arial"/>
      <b val="1"/>
      <color rgb="0000e5c8"/>
      <sz val="18"/>
    </font>
    <font>
      <name val="Arial"/>
      <b val="1"/>
      <color rgb="002ecc71"/>
      <sz val="18"/>
    </font>
    <font>
      <name val="Arial"/>
      <b val="1"/>
      <color rgb="00ff8c42"/>
      <sz val="18"/>
    </font>
    <font>
      <name val="Arial"/>
      <b val="1"/>
      <color rgb="0000e5c8"/>
      <sz val="10"/>
    </font>
    <font>
      <name val="Arial"/>
      <color rgb="00444444"/>
      <sz val="9"/>
    </font>
    <font>
      <name val="Arial"/>
      <b val="1"/>
      <color rgb="0000e5c8"/>
      <sz val="9"/>
    </font>
    <font>
      <name val="Arial"/>
      <b val="1"/>
      <color rgb="002ecc71"/>
      <sz val="9"/>
    </font>
    <font>
      <name val="Arial"/>
      <color rgb="00ff4d6d"/>
      <sz val="9"/>
    </font>
    <font>
      <name val="Arial"/>
      <color rgb="0000e5c8"/>
      <sz val="9"/>
    </font>
    <font>
      <name val="Arial"/>
      <b val="1"/>
      <color rgb="0000e5c8"/>
      <sz val="12"/>
    </font>
  </fonts>
  <fills count="7">
    <fill>
      <patternFill/>
    </fill>
    <fill>
      <patternFill patternType="gray125"/>
    </fill>
    <fill>
      <patternFill patternType="solid">
        <fgColor rgb="00080a0f"/>
      </patternFill>
    </fill>
    <fill>
      <patternFill patternType="solid">
        <fgColor rgb="000d1018"/>
      </patternFill>
    </fill>
    <fill>
      <patternFill patternType="solid">
        <fgColor rgb="00f5f5f5"/>
      </patternFill>
    </fill>
    <fill>
      <patternFill patternType="solid">
        <fgColor rgb="00f0fd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1a1e2a"/>
      </left>
      <right style="thin">
        <color rgb="001a1e2a"/>
      </right>
      <top style="thin">
        <color rgb="001a1e2a"/>
      </top>
      <bottom style="thin">
        <color rgb="001a1e2a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2" borderId="0" pivotButton="0" quotePrefix="0" xfId="0"/>
    <xf numFmtId="0" fontId="7" fillId="3" borderId="1" applyAlignment="1" pivotButton="0" quotePrefix="0" xfId="0">
      <alignment horizontal="left" vertical="center" wrapText="1"/>
    </xf>
    <xf numFmtId="164" fontId="7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left" vertical="center" wrapText="1"/>
    </xf>
    <xf numFmtId="164" fontId="9" fillId="5" borderId="1" applyAlignment="1" pivotButton="0" quotePrefix="0" xfId="0">
      <alignment horizontal="center" vertical="center" wrapText="1"/>
    </xf>
    <xf numFmtId="164" fontId="10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7" fillId="3" borderId="1" applyAlignment="1" pivotButton="0" quotePrefix="0" xfId="0">
      <alignment horizontal="left" vertical="center" wrapText="1"/>
    </xf>
    <xf numFmtId="164" fontId="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Financial ROI Analysis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'ROI Dashboard'!B7</f>
            </strRef>
          </tx>
          <spPr>
            <a:ln xmlns:a="http://schemas.openxmlformats.org/drawingml/2006/main">
              <a:prstDash val="solid"/>
            </a:ln>
          </spPr>
          <cat>
            <numRef>
              <f>'ROI Dashboard'!$A$8:$A$16</f>
            </numRef>
          </cat>
          <val>
            <numRef>
              <f>'ROI Dashboard'!$B$8:$B$16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16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00e5c8"/>
    <outlinePr summaryBelow="1" summaryRight="1"/>
    <pageSetUpPr/>
  </sheetPr>
  <dimension ref="A1:G1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TINLANCE — ThreatFade ROI Dashboard: Acme Financial Services Ltd</t>
        </is>
      </c>
    </row>
    <row r="2">
      <c r="A2" s="2" t="inlineStr">
        <is>
          <t>Industry: Financial Services  ·  Employees: 350  ·  Generated: June 06, 2026</t>
        </is>
      </c>
    </row>
    <row r="4" ht="50" customHeight="1">
      <c r="A4" s="3" t="inlineStr">
        <is>
          <t>418x</t>
        </is>
      </c>
      <c r="B4" s="4" t="inlineStr">
        <is>
          <t>$2,508,494</t>
        </is>
      </c>
      <c r="C4" s="5" t="inlineStr">
        <is>
          <t>0 days</t>
        </is>
      </c>
      <c r="D4" s="3" t="inlineStr">
        <is>
          <t>100.0%</t>
        </is>
      </c>
      <c r="E4" s="4" t="inlineStr">
        <is>
          <t>847ms</t>
        </is>
      </c>
      <c r="F4" s="5" t="inlineStr">
        <is>
          <t>0%</t>
        </is>
      </c>
    </row>
    <row r="5">
      <c r="A5" s="6" t="inlineStr">
        <is>
          <t>ROI Multiple</t>
        </is>
      </c>
      <c r="B5" s="6" t="inlineStr">
        <is>
          <t>Value Protected</t>
        </is>
      </c>
      <c r="C5" s="6" t="inlineStr">
        <is>
          <t>Payback Period</t>
        </is>
      </c>
      <c r="D5" s="6" t="inlineStr">
        <is>
          <t>MTTD Reduction</t>
        </is>
      </c>
      <c r="E5" s="6" t="inlineStr">
        <is>
          <t>ThreatFade MTTD</t>
        </is>
      </c>
      <c r="F5" s="6" t="inlineStr">
        <is>
          <t>False Positive Rate</t>
        </is>
      </c>
    </row>
    <row r="7">
      <c r="A7" s="7" t="inlineStr">
        <is>
          <t>Financial Analysis</t>
        </is>
      </c>
      <c r="D7" s="7" t="inlineStr">
        <is>
          <t>MTTD / MTTR Comparison</t>
        </is>
      </c>
    </row>
    <row r="8">
      <c r="A8" s="8" t="inlineStr">
        <is>
          <t>Scaled breach cost</t>
        </is>
      </c>
      <c r="B8" s="9" t="n">
        <v>2360000</v>
      </c>
      <c r="D8" s="10" t="inlineStr">
        <is>
          <t>Metric</t>
        </is>
      </c>
      <c r="E8" s="10" t="inlineStr">
        <is>
          <t>Industry Avg</t>
        </is>
      </c>
      <c r="F8" s="10" t="inlineStr">
        <is>
          <t>With ThreatFade</t>
        </is>
      </c>
      <c r="G8" s="10" t="inlineStr">
        <is>
          <t>Reduction</t>
        </is>
      </c>
    </row>
    <row r="9">
      <c r="A9" s="11" t="inlineStr">
        <is>
          <t>Annual risk exposure</t>
        </is>
      </c>
      <c r="B9" s="12" t="n">
        <v>5428000</v>
      </c>
      <c r="D9" s="13" t="inlineStr">
        <is>
          <t>MTTD</t>
        </is>
      </c>
      <c r="E9" s="13" t="inlineStr">
        <is>
          <t>207 days</t>
        </is>
      </c>
      <c r="F9" s="14" t="inlineStr">
        <is>
          <t>847ms</t>
        </is>
      </c>
      <c r="G9" s="13" t="inlineStr">
        <is>
          <t>100.0%</t>
        </is>
      </c>
    </row>
    <row r="10">
      <c r="A10" s="8" t="inlineStr">
        <is>
          <t>Breach cost avoided (MTTD/MTTR)</t>
        </is>
      </c>
      <c r="B10" s="9" t="n">
        <v>2358494</v>
      </c>
      <c r="D10" s="15" t="inlineStr">
        <is>
          <t>MTTR</t>
        </is>
      </c>
      <c r="E10" s="15" t="inlineStr">
        <is>
          <t>70 days</t>
        </is>
      </c>
      <c r="F10" s="16" t="inlineStr">
        <is>
          <t>4.0 hrs</t>
        </is>
      </c>
      <c r="G10" s="15" t="inlineStr">
        <is>
          <t>99.8%</t>
        </is>
      </c>
    </row>
    <row r="11">
      <c r="A11" s="11" t="inlineStr">
        <is>
          <t>NIS2 fine risk avoided</t>
        </is>
      </c>
      <c r="B11" s="12" t="n">
        <v>500000</v>
      </c>
      <c r="D11" s="13" t="inlineStr">
        <is>
          <t>Days saved</t>
        </is>
      </c>
      <c r="E11" s="13" t="inlineStr">
        <is>
          <t>—</t>
        </is>
      </c>
      <c r="F11" s="14" t="inlineStr">
        <is>
          <t>276.8 days</t>
        </is>
      </c>
      <c r="G11" s="13" t="inlineStr">
        <is>
          <t>—</t>
        </is>
      </c>
    </row>
    <row r="12">
      <c r="A12" s="17" t="inlineStr">
        <is>
          <t>TOTAL value protected</t>
        </is>
      </c>
      <c r="B12" s="18" t="n">
        <v>2508494</v>
      </c>
      <c r="D12" s="15" t="inlineStr">
        <is>
          <t>FP Rate</t>
        </is>
      </c>
      <c r="E12" s="15" t="inlineStr">
        <is>
          <t>Varies (industry avg 10-40%)</t>
        </is>
      </c>
      <c r="F12" s="16" t="inlineStr">
        <is>
          <t>0%</t>
        </is>
      </c>
      <c r="G12" s="15" t="inlineStr">
        <is>
          <t>100%</t>
        </is>
      </c>
    </row>
    <row r="13">
      <c r="A13" s="11" t="inlineStr">
        <is>
          <t>Pilot cost (ThreatFade)</t>
        </is>
      </c>
      <c r="B13" s="19" t="n">
        <v>6000</v>
      </c>
    </row>
    <row r="14">
      <c r="A14" s="17" t="inlineStr">
        <is>
          <t>Net benefit</t>
        </is>
      </c>
      <c r="B14" s="20" t="n">
        <v>2502494</v>
      </c>
    </row>
  </sheetData>
  <mergeCells count="2">
    <mergeCell ref="A2:F2"/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00b8a0"/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22" customWidth="1" min="4" max="4"/>
    <col width="22" customWidth="1" min="5" max="5"/>
  </cols>
  <sheetData>
    <row r="1">
      <c r="A1" s="21" t="inlineStr">
        <is>
          <t>MTTD / MTTR Deep Analysis — ThreatFade vs Industry</t>
        </is>
      </c>
    </row>
    <row r="3">
      <c r="A3" s="22" t="inlineStr">
        <is>
          <t>Metric</t>
        </is>
      </c>
      <c r="B3" s="22" t="inlineStr">
        <is>
          <t>Unit</t>
        </is>
      </c>
      <c r="C3" s="22" t="inlineStr">
        <is>
          <t>Industry Average</t>
        </is>
      </c>
      <c r="D3" s="22" t="inlineStr">
        <is>
          <t>With ThreatFade</t>
        </is>
      </c>
      <c r="E3" s="22" t="inlineStr">
        <is>
          <t>Improvement</t>
        </is>
      </c>
    </row>
    <row r="4">
      <c r="A4" s="8" t="inlineStr">
        <is>
          <t>Mean Time to Detect</t>
        </is>
      </c>
      <c r="B4" s="15" t="inlineStr">
        <is>
          <t>Days</t>
        </is>
      </c>
      <c r="C4" s="15" t="n">
        <v>207</v>
      </c>
      <c r="D4" s="15" t="inlineStr">
        <is>
          <t>0.000010 (847ms)</t>
        </is>
      </c>
      <c r="E4" s="23" t="inlineStr">
        <is>
          <t>100.0% faster</t>
        </is>
      </c>
    </row>
    <row r="5">
      <c r="A5" s="24" t="inlineStr">
        <is>
          <t>Mean Time to Respond</t>
        </is>
      </c>
      <c r="B5" s="25" t="inlineStr">
        <is>
          <t>Days</t>
        </is>
      </c>
      <c r="C5" s="25" t="n">
        <v>70</v>
      </c>
      <c r="D5" s="25" t="n">
        <v>0.1666666666666667</v>
      </c>
      <c r="E5" s="26" t="inlineStr">
        <is>
          <t>99.8% faster</t>
        </is>
      </c>
    </row>
    <row r="6">
      <c r="A6" s="8" t="inlineStr">
        <is>
          <t>Total Dwell Time</t>
        </is>
      </c>
      <c r="B6" s="15" t="inlineStr">
        <is>
          <t>Days</t>
        </is>
      </c>
      <c r="C6" s="15" t="n">
        <v>277</v>
      </c>
      <c r="D6" s="15" t="n">
        <v>0.1766666666666667</v>
      </c>
      <c r="E6" s="23" t="inlineStr">
        <is>
          <t>276.8 days saved</t>
        </is>
      </c>
    </row>
    <row r="7">
      <c r="A7" s="24" t="inlineStr">
        <is>
          <t>False Positive Rate</t>
        </is>
      </c>
      <c r="B7" s="25" t="inlineStr">
        <is>
          <t>%</t>
        </is>
      </c>
      <c r="C7" s="25" t="inlineStr">
        <is>
          <t>10-40% (industry avg)</t>
        </is>
      </c>
      <c r="D7" s="25" t="inlineStr">
        <is>
          <t>0%</t>
        </is>
      </c>
      <c r="E7" s="26" t="inlineStr">
        <is>
          <t>Eliminated</t>
        </is>
      </c>
    </row>
    <row r="8">
      <c r="A8" s="8" t="inlineStr">
        <is>
          <t>Detection Accuracy</t>
        </is>
      </c>
      <c r="B8" s="15" t="inlineStr">
        <is>
          <t>%</t>
        </is>
      </c>
      <c r="C8" s="15" t="inlineStr">
        <is>
          <t>Varies</t>
        </is>
      </c>
      <c r="D8" s="15" t="inlineStr">
        <is>
          <t>99.9%+</t>
        </is>
      </c>
      <c r="E8" s="23" t="inlineStr">
        <is>
          <t>Validated</t>
        </is>
      </c>
    </row>
    <row r="9">
      <c r="A9" s="24" t="inlineStr">
        <is>
          <t>Packets Analysed</t>
        </is>
      </c>
      <c r="B9" s="25" t="inlineStr">
        <is>
          <t>Count</t>
        </is>
      </c>
      <c r="C9" s="25" t="inlineStr">
        <is>
          <t>N/A</t>
        </is>
      </c>
      <c r="D9" s="25" t="inlineStr">
        <is>
          <t>490,000+</t>
        </is>
      </c>
      <c r="E9" s="26" t="inlineStr">
        <is>
          <t>Production-validated</t>
        </is>
      </c>
    </row>
    <row r="10">
      <c r="A10" s="8" t="inlineStr">
        <is>
          <t>Test Runs (FP validation)</t>
        </is>
      </c>
      <c r="B10" s="15" t="inlineStr">
        <is>
          <t>Count</t>
        </is>
      </c>
      <c r="C10" s="15" t="inlineStr">
        <is>
          <t>N/A</t>
        </is>
      </c>
      <c r="D10" s="15" t="inlineStr">
        <is>
          <t>100</t>
        </is>
      </c>
      <c r="E10" s="23" t="inlineStr">
        <is>
          <t>0 false positives</t>
        </is>
      </c>
    </row>
    <row r="11">
      <c r="A11" s="24" t="inlineStr">
        <is>
          <t>Malware Variants Tested</t>
        </is>
      </c>
      <c r="B11" s="25" t="inlineStr">
        <is>
          <t>Count</t>
        </is>
      </c>
      <c r="C11" s="25" t="inlineStr">
        <is>
          <t>N/A</t>
        </is>
      </c>
      <c r="D11" s="25" t="inlineStr">
        <is>
          <t>3 (Merlin/CS/IcedID)</t>
        </is>
      </c>
      <c r="E11" s="26" t="inlineStr">
        <is>
          <t>All detected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5c842"/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>
      <c r="A1" s="21" t="inlineStr">
        <is>
          <t>NIS2 / DORA Regulatory Fine Risk Calculator</t>
        </is>
      </c>
    </row>
    <row r="3">
      <c r="A3" s="17" t="inlineStr">
        <is>
          <t>Organisation</t>
        </is>
      </c>
      <c r="B3" s="11" t="inlineStr">
        <is>
          <t>Acme Financial Services Ltd</t>
        </is>
      </c>
    </row>
    <row r="4">
      <c r="A4" s="17" t="inlineStr">
        <is>
          <t>Annual Revenue (USD)</t>
        </is>
      </c>
      <c r="B4" s="27" t="n">
        <v>25000000</v>
      </c>
    </row>
    <row r="5">
      <c r="A5" s="17" t="inlineStr">
        <is>
          <t>Employees</t>
        </is>
      </c>
      <c r="B5" s="11" t="n">
        <v>350</v>
      </c>
    </row>
    <row r="6">
      <c r="A6" s="17" t="inlineStr">
        <is>
          <t>NIS2 Applicable?</t>
        </is>
      </c>
      <c r="B6" s="8" t="inlineStr">
        <is>
          <t>Yes</t>
        </is>
      </c>
    </row>
    <row r="7">
      <c r="A7" s="17" t="inlineStr">
        <is>
          <t>NIS2 Max Fine (€10M cap)</t>
        </is>
      </c>
      <c r="B7" s="28" t="n">
        <v>10000000</v>
      </c>
    </row>
    <row r="8">
      <c r="A8" s="17" t="inlineStr">
        <is>
          <t>NIS2 Fine (2% turnover)</t>
        </is>
      </c>
      <c r="B8" s="27" t="n">
        <v>500000</v>
      </c>
    </row>
    <row r="9">
      <c r="A9" s="17" t="inlineStr">
        <is>
          <t>Applicable Fine (lower of)</t>
        </is>
      </c>
      <c r="B9" s="28" t="n">
        <v>500000</v>
      </c>
    </row>
    <row r="10">
      <c r="A10" s="17" t="inlineStr">
        <is>
          <t>Probability of Fine (est.)</t>
        </is>
      </c>
      <c r="B10" s="8" t="inlineStr">
        <is>
          <t>30% (without ThreatFade detection)</t>
        </is>
      </c>
    </row>
    <row r="11">
      <c r="A11" s="17" t="inlineStr">
        <is>
          <t>Expected Fine Cost</t>
        </is>
      </c>
      <c r="B11" s="28" t="n">
        <v>150000</v>
      </c>
    </row>
    <row r="12">
      <c r="A12" s="17" t="inlineStr">
        <is>
          <t>With ThreatFade (72hr notif)</t>
        </is>
      </c>
      <c r="B12" s="8" t="inlineStr">
        <is>
          <t>Fine avoided — early detection enables NIS2 compliance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2026-06-06T20:14:02Z</dcterms:created>
  <dcterms:modified xmlns:dcterms="http://purl.org/dc/terms/" xmlns:xsi="http://www.w3.org/2001/XMLSchema-instance" xsi:type="dcterms:W3CDTF">2026-06-06T20:14:02Z</dcterms:modified>
</cp:coreProperties>
</file>